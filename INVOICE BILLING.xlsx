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406972819fad9fe/Desktop/Data analytics/DA COURSE/EXCEL/Extra Resources/"/>
    </mc:Choice>
  </mc:AlternateContent>
  <xr:revisionPtr revIDLastSave="4" documentId="8_{33957655-467C-4225-9290-F8B14410972C}" xr6:coauthVersionLast="47" xr6:coauthVersionMax="47" xr10:uidLastSave="{647CE144-F81E-4193-B071-4FACC2E1FFA8}"/>
  <bookViews>
    <workbookView xWindow="-110" yWindow="-110" windowWidth="19420" windowHeight="10300" xr2:uid="{EFD0312B-21F5-4834-B60B-B09E1B2EE2FB}"/>
  </bookViews>
  <sheets>
    <sheet name="Sheet1" sheetId="1" r:id="rId1"/>
    <sheet name="Sheet2" sheetId="2" r:id="rId2"/>
  </sheets>
  <definedNames>
    <definedName name="_xlnm._FilterDatabase" localSheetId="0" hidden="1">Sheet1!$A$4:$K$24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6" i="1"/>
  <c r="J6" i="1" s="1"/>
  <c r="J21" i="1" l="1"/>
  <c r="J23" i="1" s="1"/>
  <c r="J22" i="1"/>
  <c r="J24" i="1" l="1"/>
</calcChain>
</file>

<file path=xl/sharedStrings.xml><?xml version="1.0" encoding="utf-8"?>
<sst xmlns="http://schemas.openxmlformats.org/spreadsheetml/2006/main" count="23" uniqueCount="20">
  <si>
    <t>ORDER NO.</t>
  </si>
  <si>
    <t>CATEGORY</t>
  </si>
  <si>
    <t>RATE</t>
  </si>
  <si>
    <t>QUANTITY</t>
  </si>
  <si>
    <t>TOTAL</t>
  </si>
  <si>
    <t xml:space="preserve">ORDER </t>
  </si>
  <si>
    <t>JEANS</t>
  </si>
  <si>
    <t>PANT</t>
  </si>
  <si>
    <t>UNDERWEAR</t>
  </si>
  <si>
    <t>NAPKIN</t>
  </si>
  <si>
    <t>T-SHIRT</t>
  </si>
  <si>
    <t>SAREE</t>
  </si>
  <si>
    <t>NIGHTY</t>
  </si>
  <si>
    <t>SCHOOL DRESS</t>
  </si>
  <si>
    <t>Subtotal</t>
  </si>
  <si>
    <t>S.tax 8%</t>
  </si>
  <si>
    <t>C.tax 8%</t>
  </si>
  <si>
    <t xml:space="preserve">Total </t>
  </si>
  <si>
    <t>INVOICE BILLING</t>
  </si>
  <si>
    <t>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</si>
</sst>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Gill Sans MT"/>
      <family val="2"/>
      <scheme val="minor"/>
    </font>
    <font>
      <b/>
      <sz val="12"/>
      <color rgb="FF92D050"/>
      <name val="Gill Sans MT"/>
      <family val="2"/>
      <scheme val="minor"/>
    </font>
    <font>
      <sz val="8"/>
      <color theme="1"/>
      <name val="Gill Sans MT"/>
      <family val="2"/>
      <scheme val="minor"/>
    </font>
    <font>
      <b/>
      <sz val="11"/>
      <color rgb="FFFF0000"/>
      <name val="Gill Sans MT"/>
      <family val="2"/>
      <scheme val="minor"/>
    </font>
    <font>
      <sz val="11"/>
      <color theme="1"/>
      <name val="Arial Black"/>
      <family val="2"/>
    </font>
    <font>
      <b/>
      <sz val="11"/>
      <color theme="1"/>
      <name val="Gill Sans MT"/>
      <family val="2"/>
      <scheme val="minor"/>
    </font>
    <font>
      <b/>
      <sz val="12"/>
      <color rgb="FFFF0000"/>
      <name val="Gill Sans MT"/>
      <family val="2"/>
      <scheme val="minor"/>
    </font>
    <font>
      <b/>
      <sz val="12"/>
      <color theme="6" tint="-0.249977111117893"/>
      <name val="Gill Sans MT"/>
      <family val="2"/>
      <scheme val="minor"/>
    </font>
    <font>
      <b/>
      <sz val="12"/>
      <color rgb="FF002060"/>
      <name val="Gill Sans MT"/>
      <family val="2"/>
      <scheme val="minor"/>
    </font>
    <font>
      <b/>
      <sz val="12"/>
      <color rgb="FF00B050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/>
    <xf numFmtId="0" fontId="2" fillId="0" borderId="2" xfId="0" applyFont="1" applyBorder="1"/>
    <xf numFmtId="0" fontId="4" fillId="2" borderId="2" xfId="0" applyFont="1" applyFill="1" applyBorder="1"/>
    <xf numFmtId="0" fontId="4" fillId="2" borderId="0" xfId="0" applyFont="1" applyFill="1"/>
    <xf numFmtId="0" fontId="0" fillId="2" borderId="0" xfId="0" applyFill="1"/>
    <xf numFmtId="0" fontId="0" fillId="2" borderId="2" xfId="0" applyFill="1" applyBorder="1"/>
    <xf numFmtId="0" fontId="0" fillId="2" borderId="1" xfId="0" applyFill="1" applyBorder="1"/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5" fillId="3" borderId="7" xfId="0" applyFont="1" applyFill="1" applyBorder="1"/>
    <xf numFmtId="0" fontId="5" fillId="3" borderId="8" xfId="0" applyFont="1" applyFill="1" applyBorder="1"/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3" borderId="11" xfId="0" applyFont="1" applyFill="1" applyBorder="1"/>
    <xf numFmtId="0" fontId="8" fillId="3" borderId="2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12783</xdr:colOff>
      <xdr:row>0</xdr:row>
      <xdr:rowOff>40474</xdr:rowOff>
    </xdr:from>
    <xdr:to>
      <xdr:col>2</xdr:col>
      <xdr:colOff>604755</xdr:colOff>
      <xdr:row>2</xdr:row>
      <xdr:rowOff>175424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F8FABF-FAE1-DEBE-C1B1-3FEA7D78A2D5}"/>
            </a:ext>
          </a:extLst>
        </xdr:cNvPr>
        <xdr:cNvSpPr/>
      </xdr:nvSpPr>
      <xdr:spPr>
        <a:xfrm>
          <a:off x="12783" y="40474"/>
          <a:ext cx="1907329" cy="55223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900" b="1">
              <a:latin typeface="+mn-lt"/>
            </a:rPr>
            <a:t>ADDRESS:</a:t>
          </a:r>
          <a:r>
            <a:rPr lang="en-IN" sz="900" b="1" baseline="0">
              <a:latin typeface="+mn-lt"/>
            </a:rPr>
            <a:t> HUDSON LINE,GTB NEAR NEAR METRO</a:t>
          </a:r>
        </a:p>
        <a:p>
          <a:pPr algn="l"/>
          <a:r>
            <a:rPr lang="en-IN" sz="900" b="1" baseline="0">
              <a:latin typeface="+mn-lt"/>
            </a:rPr>
            <a:t>P.NO- 6500772344</a:t>
          </a:r>
          <a:endParaRPr lang="en-IN" sz="900" b="1">
            <a:latin typeface="+mn-lt"/>
          </a:endParaRPr>
        </a:p>
      </xdr:txBody>
    </xdr:sp>
    <xdr:clientData/>
  </xdr:twoCellAnchor>
  <xdr:twoCellAnchor>
    <xdr:from>
      <xdr:col>2</xdr:col>
      <xdr:colOff>579437</xdr:colOff>
      <xdr:row>0</xdr:row>
      <xdr:rowOff>34925</xdr:rowOff>
    </xdr:from>
    <xdr:to>
      <xdr:col>10</xdr:col>
      <xdr:colOff>595312</xdr:colOff>
      <xdr:row>2</xdr:row>
      <xdr:rowOff>168275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10A18F0-EFF1-4171-9DD5-B6B975C6EDCB}"/>
            </a:ext>
          </a:extLst>
        </xdr:cNvPr>
        <xdr:cNvSpPr/>
      </xdr:nvSpPr>
      <xdr:spPr>
        <a:xfrm>
          <a:off x="1801812" y="34925"/>
          <a:ext cx="4746625" cy="5461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0000"/>
              </a:solidFill>
              <a:latin typeface="Algerian" panose="04020705040A02060702" pitchFamily="82" charset="0"/>
            </a:rPr>
            <a:t>NEW FASHION TRENDS </a:t>
          </a:r>
        </a:p>
      </xdr:txBody>
    </xdr:sp>
    <xdr:clientData/>
  </xdr:twoCellAnchor>
  <xdr:twoCellAnchor editAs="oneCell">
    <xdr:from>
      <xdr:col>3</xdr:col>
      <xdr:colOff>15873</xdr:colOff>
      <xdr:row>0</xdr:row>
      <xdr:rowOff>119064</xdr:rowOff>
    </xdr:from>
    <xdr:to>
      <xdr:col>3</xdr:col>
      <xdr:colOff>422274</xdr:colOff>
      <xdr:row>2</xdr:row>
      <xdr:rowOff>80964</xdr:rowOff>
    </xdr:to>
    <xdr:pic>
      <xdr:nvPicPr>
        <xdr:cNvPr id="7" name="Graphic 6" descr="Peacock with solid fill">
          <a:extLst>
            <a:ext uri="{FF2B5EF4-FFF2-40B4-BE49-F238E27FC236}">
              <a16:creationId xmlns:a16="http://schemas.microsoft.com/office/drawing/2014/main" id="{3FD5EC03-8FAF-70DE-7737-F61AEC03B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49436" y="119064"/>
          <a:ext cx="406401" cy="374650"/>
        </a:xfrm>
        <a:prstGeom prst="rect">
          <a:avLst/>
        </a:prstGeom>
      </xdr:spPr>
    </xdr:pic>
    <xdr:clientData/>
  </xdr:twoCellAnchor>
  <xdr:twoCellAnchor editAs="oneCell">
    <xdr:from>
      <xdr:col>10</xdr:col>
      <xdr:colOff>31749</xdr:colOff>
      <xdr:row>0</xdr:row>
      <xdr:rowOff>87313</xdr:rowOff>
    </xdr:from>
    <xdr:to>
      <xdr:col>11</xdr:col>
      <xdr:colOff>23812</xdr:colOff>
      <xdr:row>2</xdr:row>
      <xdr:rowOff>95251</xdr:rowOff>
    </xdr:to>
    <xdr:pic>
      <xdr:nvPicPr>
        <xdr:cNvPr id="9" name="Graphic 8" descr="Dress with solid fill">
          <a:extLst>
            <a:ext uri="{FF2B5EF4-FFF2-40B4-BE49-F238E27FC236}">
              <a16:creationId xmlns:a16="http://schemas.microsoft.com/office/drawing/2014/main" id="{73F3EBCB-261F-114D-799C-6B3F629EF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84874" y="87313"/>
          <a:ext cx="603251" cy="4206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36286</xdr:rowOff>
    </xdr:from>
    <xdr:to>
      <xdr:col>1</xdr:col>
      <xdr:colOff>508000</xdr:colOff>
      <xdr:row>23</xdr:row>
      <xdr:rowOff>190501</xdr:rowOff>
    </xdr:to>
    <xdr:sp macro="" textlink="">
      <xdr:nvSpPr>
        <xdr:cNvPr id="10" name="Scroll: Vertical 9">
          <a:extLst>
            <a:ext uri="{FF2B5EF4-FFF2-40B4-BE49-F238E27FC236}">
              <a16:creationId xmlns:a16="http://schemas.microsoft.com/office/drawing/2014/main" id="{C499BF64-EB5D-FA4F-FC0D-532BA6268356}"/>
            </a:ext>
          </a:extLst>
        </xdr:cNvPr>
        <xdr:cNvSpPr/>
      </xdr:nvSpPr>
      <xdr:spPr>
        <a:xfrm>
          <a:off x="0" y="4036786"/>
          <a:ext cx="1115786" cy="988786"/>
        </a:xfrm>
        <a:prstGeom prst="verticalScroll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900" b="1"/>
            <a:t>SOLD PRODUCT CAN NOT BE RETURNED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3F3E-FEAB-442F-84A3-226387B03876}">
  <dimension ref="A1:L24"/>
  <sheetViews>
    <sheetView tabSelected="1" zoomScale="60" zoomScaleNormal="60" workbookViewId="0">
      <selection activeCell="C6" sqref="C6"/>
    </sheetView>
  </sheetViews>
  <sheetFormatPr defaultRowHeight="16.5" x14ac:dyDescent="0.5"/>
  <cols>
    <col min="1" max="1" width="10.08984375" bestFit="1" customWidth="1"/>
    <col min="8" max="8" width="12.90625" bestFit="1" customWidth="1"/>
    <col min="9" max="9" width="10" bestFit="1" customWidth="1"/>
    <col min="10" max="10" width="9.453125" bestFit="1" customWidth="1"/>
  </cols>
  <sheetData>
    <row r="1" spans="1:12" x14ac:dyDescent="0.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1"/>
    </row>
    <row r="2" spans="1:12" x14ac:dyDescent="0.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1"/>
    </row>
    <row r="3" spans="1:12" x14ac:dyDescent="0.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1"/>
    </row>
    <row r="4" spans="1:12" ht="19" thickBot="1" x14ac:dyDescent="0.6">
      <c r="A4" s="21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3"/>
      <c r="L4" s="1"/>
    </row>
    <row r="5" spans="1:12" ht="17" x14ac:dyDescent="0.5">
      <c r="A5" s="3" t="s">
        <v>0</v>
      </c>
      <c r="B5" s="4"/>
      <c r="C5" s="4" t="s">
        <v>1</v>
      </c>
      <c r="D5" s="4"/>
      <c r="E5" s="4"/>
      <c r="F5" s="4" t="s">
        <v>2</v>
      </c>
      <c r="G5" s="4"/>
      <c r="H5" s="4" t="s">
        <v>3</v>
      </c>
      <c r="I5" s="4"/>
      <c r="J5" s="4" t="s">
        <v>4</v>
      </c>
      <c r="K5" s="5"/>
      <c r="L5" s="1"/>
    </row>
    <row r="6" spans="1:12" ht="17" x14ac:dyDescent="0.5">
      <c r="A6" s="3">
        <v>1</v>
      </c>
      <c r="B6" s="4"/>
      <c r="C6" s="4" t="s">
        <v>10</v>
      </c>
      <c r="D6" s="4"/>
      <c r="E6" s="4"/>
      <c r="F6" s="4">
        <f>IFERROR(VLOOKUP(C6,Sheet2!$B$1:$C$9,2,0),"")</f>
        <v>299</v>
      </c>
      <c r="G6" s="4"/>
      <c r="H6" s="4">
        <v>8</v>
      </c>
      <c r="I6" s="4"/>
      <c r="J6" s="4">
        <f>IFERROR(SUM(F6+H6),"")</f>
        <v>307</v>
      </c>
      <c r="K6" s="5"/>
      <c r="L6" s="1"/>
    </row>
    <row r="7" spans="1:12" ht="17" x14ac:dyDescent="0.5">
      <c r="A7" s="3"/>
      <c r="B7" s="4"/>
      <c r="C7" s="4"/>
      <c r="D7" s="4"/>
      <c r="E7" s="4"/>
      <c r="F7" s="4" t="str">
        <f>IFERROR(VLOOKUP(C7,Sheet2!$B$1:$C$9,2,0),"")</f>
        <v/>
      </c>
      <c r="G7" s="4"/>
      <c r="H7" s="4"/>
      <c r="I7" s="4"/>
      <c r="J7" s="4" t="str">
        <f t="shared" ref="J7:J20" si="0">IFERROR(SUM(F7+H7),"")</f>
        <v/>
      </c>
      <c r="K7" s="5"/>
      <c r="L7" s="2"/>
    </row>
    <row r="8" spans="1:12" ht="17" x14ac:dyDescent="0.5">
      <c r="A8" s="3"/>
      <c r="B8" s="5"/>
      <c r="C8" s="4"/>
      <c r="D8" s="5"/>
      <c r="E8" s="5"/>
      <c r="F8" s="4" t="str">
        <f>IFERROR(VLOOKUP(C8,Sheet2!$B$1:$C$9,2,0),"")</f>
        <v/>
      </c>
      <c r="G8" s="5"/>
      <c r="H8" s="5"/>
      <c r="I8" s="5"/>
      <c r="J8" s="4" t="str">
        <f t="shared" si="0"/>
        <v/>
      </c>
      <c r="K8" s="5"/>
      <c r="L8" s="1"/>
    </row>
    <row r="9" spans="1:12" ht="17" x14ac:dyDescent="0.5">
      <c r="A9" s="3"/>
      <c r="B9" s="5"/>
      <c r="C9" s="4"/>
      <c r="D9" s="5"/>
      <c r="E9" s="5"/>
      <c r="F9" s="4" t="str">
        <f>IFERROR(VLOOKUP(C9,Sheet2!$B$1:$C$9,2,0),"")</f>
        <v/>
      </c>
      <c r="G9" s="5"/>
      <c r="H9" s="5"/>
      <c r="I9" s="5"/>
      <c r="J9" s="4" t="str">
        <f t="shared" si="0"/>
        <v/>
      </c>
      <c r="K9" s="5"/>
      <c r="L9" s="1"/>
    </row>
    <row r="10" spans="1:12" ht="17" x14ac:dyDescent="0.5">
      <c r="A10" s="3"/>
      <c r="B10" s="5"/>
      <c r="C10" s="4"/>
      <c r="D10" s="5"/>
      <c r="E10" s="5"/>
      <c r="F10" s="4" t="str">
        <f>IFERROR(VLOOKUP(C10,Sheet2!$B$1:$C$9,2,0),"")</f>
        <v/>
      </c>
      <c r="G10" s="5"/>
      <c r="H10" s="5"/>
      <c r="I10" s="5"/>
      <c r="J10" s="4" t="str">
        <f t="shared" si="0"/>
        <v/>
      </c>
      <c r="K10" s="5"/>
      <c r="L10" s="1"/>
    </row>
    <row r="11" spans="1:12" ht="17" x14ac:dyDescent="0.5">
      <c r="A11" s="3"/>
      <c r="B11" s="5"/>
      <c r="C11" s="4"/>
      <c r="D11" s="5"/>
      <c r="E11" s="5"/>
      <c r="F11" s="4" t="str">
        <f>IFERROR(VLOOKUP(C11,Sheet2!$B$1:$C$9,2,0),"")</f>
        <v/>
      </c>
      <c r="G11" s="5"/>
      <c r="H11" s="5"/>
      <c r="I11" s="5"/>
      <c r="J11" s="4" t="str">
        <f t="shared" si="0"/>
        <v/>
      </c>
      <c r="K11" s="5"/>
      <c r="L11" s="1"/>
    </row>
    <row r="12" spans="1:12" ht="17" x14ac:dyDescent="0.5">
      <c r="A12" s="3"/>
      <c r="B12" s="5"/>
      <c r="C12" s="4"/>
      <c r="D12" s="5"/>
      <c r="E12" s="5"/>
      <c r="F12" s="4" t="str">
        <f>IFERROR(VLOOKUP(C12,Sheet2!$B$1:$C$9,2,0),"")</f>
        <v/>
      </c>
      <c r="G12" s="5"/>
      <c r="H12" s="5"/>
      <c r="I12" s="5"/>
      <c r="J12" s="4" t="str">
        <f t="shared" si="0"/>
        <v/>
      </c>
      <c r="K12" s="5"/>
      <c r="L12" s="1"/>
    </row>
    <row r="13" spans="1:12" ht="17" x14ac:dyDescent="0.5">
      <c r="A13" s="3"/>
      <c r="B13" s="5"/>
      <c r="C13" s="4"/>
      <c r="D13" s="5"/>
      <c r="E13" s="5"/>
      <c r="F13" s="4" t="str">
        <f>IFERROR(VLOOKUP(C13,Sheet2!$B$1:$C$9,2,0),"")</f>
        <v/>
      </c>
      <c r="G13" s="5"/>
      <c r="H13" s="5"/>
      <c r="I13" s="5"/>
      <c r="J13" s="4" t="str">
        <f t="shared" si="0"/>
        <v/>
      </c>
      <c r="K13" s="5"/>
      <c r="L13" s="1"/>
    </row>
    <row r="14" spans="1:12" ht="17" x14ac:dyDescent="0.5">
      <c r="A14" s="3"/>
      <c r="B14" s="5"/>
      <c r="C14" s="4"/>
      <c r="D14" s="5"/>
      <c r="E14" s="5"/>
      <c r="F14" s="4" t="str">
        <f>IFERROR(VLOOKUP(C14,Sheet2!$B$1:$C$9,2,0),"")</f>
        <v/>
      </c>
      <c r="G14" s="5"/>
      <c r="H14" s="5"/>
      <c r="I14" s="5"/>
      <c r="J14" s="4" t="str">
        <f t="shared" si="0"/>
        <v/>
      </c>
      <c r="K14" s="5"/>
      <c r="L14" s="1"/>
    </row>
    <row r="15" spans="1:12" ht="17" x14ac:dyDescent="0.5">
      <c r="A15" s="3"/>
      <c r="B15" s="5"/>
      <c r="C15" s="4"/>
      <c r="D15" s="5"/>
      <c r="E15" s="5"/>
      <c r="F15" s="4" t="str">
        <f>IFERROR(VLOOKUP(C15,Sheet2!$B$1:$C$9,2,0),"")</f>
        <v/>
      </c>
      <c r="G15" s="5"/>
      <c r="H15" s="5"/>
      <c r="I15" s="5"/>
      <c r="J15" s="4" t="str">
        <f t="shared" si="0"/>
        <v/>
      </c>
      <c r="K15" s="5"/>
      <c r="L15" s="1"/>
    </row>
    <row r="16" spans="1:12" ht="17" x14ac:dyDescent="0.5">
      <c r="A16" s="3"/>
      <c r="B16" s="5"/>
      <c r="C16" s="4"/>
      <c r="D16" s="5"/>
      <c r="E16" s="5"/>
      <c r="F16" s="4" t="str">
        <f>IFERROR(VLOOKUP(C16,Sheet2!$B$1:$C$9,2,0),"")</f>
        <v/>
      </c>
      <c r="G16" s="5"/>
      <c r="H16" s="5"/>
      <c r="I16" s="5"/>
      <c r="J16" s="4" t="str">
        <f t="shared" si="0"/>
        <v/>
      </c>
      <c r="K16" s="5"/>
      <c r="L16" s="1"/>
    </row>
    <row r="17" spans="1:12" ht="17" x14ac:dyDescent="0.5">
      <c r="A17" s="3"/>
      <c r="B17" s="5"/>
      <c r="C17" s="4"/>
      <c r="D17" s="5"/>
      <c r="E17" s="5"/>
      <c r="F17" s="4" t="str">
        <f>IFERROR(VLOOKUP(C17,Sheet2!$B$1:$C$9,2,0),"")</f>
        <v/>
      </c>
      <c r="G17" s="5"/>
      <c r="H17" s="5"/>
      <c r="I17" s="5"/>
      <c r="J17" s="4" t="str">
        <f t="shared" si="0"/>
        <v/>
      </c>
      <c r="K17" s="5"/>
      <c r="L17" s="1"/>
    </row>
    <row r="18" spans="1:12" ht="17" x14ac:dyDescent="0.5">
      <c r="A18" s="3"/>
      <c r="B18" s="5"/>
      <c r="C18" s="4"/>
      <c r="D18" s="5"/>
      <c r="E18" s="5"/>
      <c r="F18" s="4" t="str">
        <f>IFERROR(VLOOKUP(C18,Sheet2!$B$1:$C$9,2,0),"")</f>
        <v/>
      </c>
      <c r="G18" s="5"/>
      <c r="H18" s="5"/>
      <c r="I18" s="5"/>
      <c r="J18" s="4" t="str">
        <f t="shared" si="0"/>
        <v/>
      </c>
      <c r="K18" s="5"/>
      <c r="L18" s="1"/>
    </row>
    <row r="19" spans="1:12" ht="17" x14ac:dyDescent="0.5">
      <c r="A19" s="3"/>
      <c r="B19" s="5"/>
      <c r="C19" s="4"/>
      <c r="D19" s="5"/>
      <c r="E19" s="5"/>
      <c r="F19" s="4" t="str">
        <f>IFERROR(VLOOKUP(C19,Sheet2!$B$1:$C$9,2,0),"")</f>
        <v/>
      </c>
      <c r="G19" s="5"/>
      <c r="H19" s="5"/>
      <c r="I19" s="5"/>
      <c r="J19" s="4" t="str">
        <f t="shared" si="0"/>
        <v/>
      </c>
      <c r="K19" s="5"/>
      <c r="L19" s="1"/>
    </row>
    <row r="20" spans="1:12" ht="17" x14ac:dyDescent="0.5">
      <c r="A20" s="6"/>
      <c r="B20" s="5"/>
      <c r="C20" s="5"/>
      <c r="D20" s="5"/>
      <c r="E20" s="5"/>
      <c r="F20" s="4" t="str">
        <f>IFERROR(VLOOKUP(C20,Sheet2!$B$1:$C$9,2,0),"")</f>
        <v/>
      </c>
      <c r="G20" s="5"/>
      <c r="H20" s="5"/>
      <c r="I20" s="5"/>
      <c r="J20" s="4" t="str">
        <f t="shared" si="0"/>
        <v/>
      </c>
      <c r="K20" s="5"/>
      <c r="L20" s="1"/>
    </row>
    <row r="21" spans="1:12" ht="18.5" x14ac:dyDescent="0.55000000000000004">
      <c r="A21" s="6"/>
      <c r="B21" s="5"/>
      <c r="C21" s="5"/>
      <c r="D21" s="5"/>
      <c r="E21" s="5"/>
      <c r="F21" s="5"/>
      <c r="G21" s="5"/>
      <c r="H21" s="5"/>
      <c r="I21" s="8" t="s">
        <v>14</v>
      </c>
      <c r="J21" s="9">
        <f>SUM(J6:J20)</f>
        <v>307</v>
      </c>
      <c r="K21" s="10"/>
      <c r="L21" s="1"/>
    </row>
    <row r="22" spans="1:12" ht="18.5" x14ac:dyDescent="0.55000000000000004">
      <c r="A22" s="6"/>
      <c r="B22" s="5"/>
      <c r="C22" s="5"/>
      <c r="D22" s="5"/>
      <c r="E22" s="5"/>
      <c r="F22" s="5"/>
      <c r="G22" s="5"/>
      <c r="H22" s="5"/>
      <c r="I22" s="15" t="s">
        <v>15</v>
      </c>
      <c r="J22" s="16">
        <f>J21*8%</f>
        <v>24.560000000000002</v>
      </c>
      <c r="K22" s="11"/>
      <c r="L22" s="1"/>
    </row>
    <row r="23" spans="1:12" ht="18.5" x14ac:dyDescent="0.55000000000000004">
      <c r="A23" s="5"/>
      <c r="B23" s="5"/>
      <c r="C23" s="5"/>
      <c r="D23" s="19" t="s">
        <v>19</v>
      </c>
      <c r="E23" s="19"/>
      <c r="F23" s="19"/>
      <c r="G23" s="5"/>
      <c r="H23" s="5"/>
      <c r="I23" s="17" t="s">
        <v>16</v>
      </c>
      <c r="J23" s="18">
        <f>J21*8%</f>
        <v>24.560000000000002</v>
      </c>
      <c r="K23" s="11"/>
      <c r="L23" s="1"/>
    </row>
    <row r="24" spans="1:12" ht="19" thickBot="1" x14ac:dyDescent="0.6">
      <c r="A24" s="7"/>
      <c r="B24" s="7"/>
      <c r="C24" s="7"/>
      <c r="D24" s="7"/>
      <c r="E24" s="7"/>
      <c r="F24" s="7"/>
      <c r="G24" s="7"/>
      <c r="H24" s="7"/>
      <c r="I24" s="12" t="s">
        <v>17</v>
      </c>
      <c r="J24" s="13">
        <f>SUM(J21:J23)</f>
        <v>356.12</v>
      </c>
      <c r="K24" s="14"/>
      <c r="L24" s="1"/>
    </row>
  </sheetData>
  <mergeCells count="3">
    <mergeCell ref="D23:F23"/>
    <mergeCell ref="A1:K3"/>
    <mergeCell ref="A4:K4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785EC2E-0E03-4826-B13E-17BE26C44DF5}">
          <x14:formula1>
            <xm:f>Sheet2!$A$2:$A$9</xm:f>
          </x14:formula1>
          <xm:sqref>A20</xm:sqref>
        </x14:dataValidation>
        <x14:dataValidation type="list" allowBlank="1" showInputMessage="1" showErrorMessage="1" xr:uid="{BB0E30D6-DD45-4667-A9F6-191AFE2CDBAD}">
          <x14:formula1>
            <xm:f>Sheet2!$B$2:$B$9</xm:f>
          </x14:formula1>
          <xm:sqref>C6:C20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F96E-BA8E-456C-8F48-7FF90D543972}">
  <dimension ref="A1:C9"/>
  <sheetViews>
    <sheetView workbookViewId="0">
      <selection activeCell="H7" sqref="H7"/>
    </sheetView>
  </sheetViews>
  <sheetFormatPr defaultRowHeight="16.5" x14ac:dyDescent="0.5"/>
  <cols>
    <col min="2" max="2" width="13.36328125" customWidth="1"/>
  </cols>
  <sheetData>
    <row r="1" spans="1:3" x14ac:dyDescent="0.5">
      <c r="A1" t="s">
        <v>5</v>
      </c>
      <c r="B1" t="s">
        <v>1</v>
      </c>
      <c r="C1" t="s">
        <v>2</v>
      </c>
    </row>
    <row r="2" spans="1:3" x14ac:dyDescent="0.5">
      <c r="A2">
        <v>101</v>
      </c>
      <c r="B2" t="s">
        <v>6</v>
      </c>
      <c r="C2">
        <v>1100</v>
      </c>
    </row>
    <row r="3" spans="1:3" x14ac:dyDescent="0.5">
      <c r="A3">
        <v>102</v>
      </c>
      <c r="B3" t="s">
        <v>7</v>
      </c>
      <c r="C3">
        <v>3000</v>
      </c>
    </row>
    <row r="4" spans="1:3" x14ac:dyDescent="0.5">
      <c r="A4">
        <v>103</v>
      </c>
      <c r="B4" t="s">
        <v>8</v>
      </c>
      <c r="C4">
        <v>239</v>
      </c>
    </row>
    <row r="5" spans="1:3" x14ac:dyDescent="0.5">
      <c r="A5">
        <v>104</v>
      </c>
      <c r="B5" t="s">
        <v>9</v>
      </c>
      <c r="C5">
        <v>112</v>
      </c>
    </row>
    <row r="6" spans="1:3" x14ac:dyDescent="0.5">
      <c r="A6">
        <v>105</v>
      </c>
      <c r="B6" t="s">
        <v>10</v>
      </c>
      <c r="C6">
        <v>299</v>
      </c>
    </row>
    <row r="7" spans="1:3" x14ac:dyDescent="0.5">
      <c r="A7">
        <v>106</v>
      </c>
      <c r="B7" t="s">
        <v>11</v>
      </c>
      <c r="C7">
        <v>1000</v>
      </c>
    </row>
    <row r="8" spans="1:3" x14ac:dyDescent="0.5">
      <c r="A8">
        <v>107</v>
      </c>
      <c r="B8" t="s">
        <v>12</v>
      </c>
      <c r="C8">
        <v>1700</v>
      </c>
    </row>
    <row r="9" spans="1:3" x14ac:dyDescent="0.5">
      <c r="A9">
        <v>108</v>
      </c>
      <c r="B9" t="s">
        <v>13</v>
      </c>
      <c r="C9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verma</dc:creator>
  <cp:lastModifiedBy>krishna verma</cp:lastModifiedBy>
  <cp:lastPrinted>2026-04-04T11:03:16Z</cp:lastPrinted>
  <dcterms:created xsi:type="dcterms:W3CDTF">2026-04-04T07:12:01Z</dcterms:created>
  <dcterms:modified xsi:type="dcterms:W3CDTF">2026-04-26T13:36:14Z</dcterms:modified>
</cp:coreProperties>
</file>